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авный" sheetId="1" r:id="rId5"/>
    <sheet state="visible" name="Роли" sheetId="2" r:id="rId6"/>
    <sheet state="visible" name="Пользователи" sheetId="3" r:id="rId7"/>
    <sheet state="visible" name="Товары" sheetId="4" r:id="rId8"/>
    <sheet state="visible" name="Корзина" sheetId="5" r:id="rId9"/>
    <sheet state="visible" name="Стоимость" sheetId="6" r:id="rId10"/>
  </sheets>
  <definedNames/>
  <calcPr/>
</workbook>
</file>

<file path=xl/sharedStrings.xml><?xml version="1.0" encoding="utf-8"?>
<sst xmlns="http://schemas.openxmlformats.org/spreadsheetml/2006/main" count="134" uniqueCount="79">
  <si>
    <t>Users</t>
  </si>
  <si>
    <t>Roles</t>
  </si>
  <si>
    <t>Goods</t>
  </si>
  <si>
    <t>Shop_cart</t>
  </si>
  <si>
    <t>Pay_list</t>
  </si>
  <si>
    <t>PK</t>
  </si>
  <si>
    <t>id_user</t>
  </si>
  <si>
    <t>int</t>
  </si>
  <si>
    <t>id_role</t>
  </si>
  <si>
    <t>id_good</t>
  </si>
  <si>
    <t>id_cart</t>
  </si>
  <si>
    <t>id_list</t>
  </si>
  <si>
    <t>surname</t>
  </si>
  <si>
    <t>varchar(255)</t>
  </si>
  <si>
    <t>role_name</t>
  </si>
  <si>
    <t>varchar(15)</t>
  </si>
  <si>
    <t>good_name</t>
  </si>
  <si>
    <t>goods_id</t>
  </si>
  <si>
    <t>cart_id</t>
  </si>
  <si>
    <t>name</t>
  </si>
  <si>
    <t>good_description</t>
  </si>
  <si>
    <t>user_id</t>
  </si>
  <si>
    <t>total_amount</t>
  </si>
  <si>
    <t>patronymic</t>
  </si>
  <si>
    <t>good_price</t>
  </si>
  <si>
    <t>total_price</t>
  </si>
  <si>
    <t>numeric</t>
  </si>
  <si>
    <t>birth_date</t>
  </si>
  <si>
    <t>date</t>
  </si>
  <si>
    <t>good_picture_link</t>
  </si>
  <si>
    <t>FK</t>
  </si>
  <si>
    <t>role_id</t>
  </si>
  <si>
    <t>user_auth_name</t>
  </si>
  <si>
    <t>user_auth_password</t>
  </si>
  <si>
    <t>address_city</t>
  </si>
  <si>
    <t>address_oblast</t>
  </si>
  <si>
    <t>address_town</t>
  </si>
  <si>
    <t>address_street</t>
  </si>
  <si>
    <t>address_home_number</t>
  </si>
  <si>
    <t>address_flat_number</t>
  </si>
  <si>
    <t>email</t>
  </si>
  <si>
    <t>phone_number</t>
  </si>
  <si>
    <t>Пользователь</t>
  </si>
  <si>
    <t>Администратор</t>
  </si>
  <si>
    <t>Гришаков</t>
  </si>
  <si>
    <t>Вадим</t>
  </si>
  <si>
    <t>Романович</t>
  </si>
  <si>
    <t>vadim106</t>
  </si>
  <si>
    <t>Vadim07092006ISP23</t>
  </si>
  <si>
    <t>Москва</t>
  </si>
  <si>
    <t>Московская область</t>
  </si>
  <si>
    <t>Дзержинский</t>
  </si>
  <si>
    <t>Угрешская</t>
  </si>
  <si>
    <t>vadimgriwakov2006@gmail.com</t>
  </si>
  <si>
    <t>7(950)871-81-32</t>
  </si>
  <si>
    <t>DELL Vostro 3681 SFF Intel Core i5, 8 ГБ RAM, Intel UHD Graphics 630</t>
  </si>
  <si>
    <t>Категория: Компактный офисный ПК. Суть: Надёжный малогабаритный компьютер для бизнес-задач. Оснащён процессором Intel i5 и встроенной графикой. Хорош для работы с документами, интернетом, несложными приложениями.</t>
  </si>
  <si>
    <t>45 990</t>
  </si>
  <si>
    <t>https://images.hepsiburada.net/description-assets/description-prod-30/c8a77b44-7830-4732-84e4-ca5d97337567.png</t>
  </si>
  <si>
    <t>Lenovo IdeaCentre 3 07ADA05 AMD Ryzen 5, 8 ГБ RAM, 512 ГБ SSD</t>
  </si>
  <si>
    <t>Категория: Бюджетный домашний/офисный мультимедийный ПК. Суть: Лучшее соотношение цены и производительности в списке. Процессор AMD Ryzen 5 обеспечивает хорошую многозадачность, а SSD на 512 ГБ — высокую скорость отклика системы. Подходит для повседневных задач, учёбы, развлечений.</t>
  </si>
  <si>
    <t xml:space="preserve">39 990 </t>
  </si>
  <si>
    <t>https://avatars.mds.yandex.net/get-mpic/5068955/2a0000019580cf18cd30de200d38d49c43c5/orig</t>
  </si>
  <si>
    <t>ASUS ExpertCenter D5 Intel Core i7, 16 ГБ RAM, 1 ТБ HDD + 256 ГБ SSD</t>
  </si>
  <si>
    <t>Категория: Мощный офисный/рабочая станция начального уровня. Суть: Самый сбалансированный ПК для серьёзной работы. Мощный процессор i7, большой объём ОЗУ и гибридный накопитель (быстрый SSD для системы и ёмкий HDD для данных). Идеален для проектов, требующих высокой производительности ЦП (анализ данных, программирование, монтаж).</t>
  </si>
  <si>
    <t>67 490</t>
  </si>
  <si>
    <t>https://main-cdn.sbermegamarket.ru/big1/hlr-system/-31/033/816/712/281/339/100030102992b0.jpg</t>
  </si>
  <si>
    <t>HP M01 Mini-Tower Intel Core i3, 8 ГБ RAM, 256 ГБ SSD</t>
  </si>
  <si>
    <t>Категория: Базовый офисный ПК для самых простых задач. Суть: Наиболее доступный вариант. Процессор i3 начального уровня и небольшой SSD подойдут для минимального набора задач: работа в браузере, офисные программы, просмотр видео.</t>
  </si>
  <si>
    <t>34 990</t>
  </si>
  <si>
    <t>https://topcomputer.ru/upload/resize_cache/images/22/1024_768_140cd750bba9870f18aada2478b24840a/22f4066e6fb51547d686fd1aec2023b6.jpg</t>
  </si>
  <si>
    <t>Lenovo Legion T5 26IOB6 Intel Core i7, RTX 3070, 16 ГБ RAM</t>
  </si>
  <si>
    <t>Категория: Игровой компьютер высокого класса. Суть: Мощнейшая система в списке, созданная для игр и ресурсоёмких задач. Сочетание топового процессора i7 и видеокарты RTX 3070 позволяет комфортно играть на высоких настройках, работать с 3D-графикой и редактировать видео.</t>
  </si>
  <si>
    <t>129 990</t>
  </si>
  <si>
    <t>https://basket-12.wbbasket.ru/vol1727/part172714/172714265/images/big/1.webp</t>
  </si>
  <si>
    <t>Fujitsu ESPRIMO Q5010 MT Intel Core i3, 8 ГБ RAM, 256 ГБ SSD</t>
  </si>
  <si>
    <t>Категория: Базовый корпоративный/офисный ПК. Суть: Аналог HP M01, но в корпусе мини-башни. Сдержанный дизайн, процессор i3 и SSD для основных офисных задач. Акцент на надёжности для корпоративного сектора.</t>
  </si>
  <si>
    <t>32 490</t>
  </si>
  <si>
    <t>https://avatars.mds.yandex.net/get-mpic/5334770/img_id1272095289037755554.jpeg/orig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</si>
</sst>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u/>
      <sz val="10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38100</xdr:colOff>
      <xdr:row>0</xdr:row>
      <xdr:rowOff>0</xdr:rowOff>
    </xdr:from>
    <xdr:ext cx="9896475" cy="53721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hepsiburada.net/description-assets/description-prod-30/c8a77b44-7830-4732-84e4-ca5d97337567.png" TargetMode="External"/><Relationship Id="rId2" Type="http://schemas.openxmlformats.org/officeDocument/2006/relationships/hyperlink" Target="https://avatars.mds.yandex.net/get-mpic/5068955/2a0000019580cf18cd30de200d38d49c43c5/orig" TargetMode="External"/><Relationship Id="rId3" Type="http://schemas.openxmlformats.org/officeDocument/2006/relationships/hyperlink" Target="https://main-cdn.sbermegamarket.ru/big1/hlr-system/-31/033/816/712/281/339/100030102992b0.jpg" TargetMode="External"/><Relationship Id="rId4" Type="http://schemas.openxmlformats.org/officeDocument/2006/relationships/hyperlink" Target="https://topcomputer.ru/upload/resize_cache/images/22/1024_768_140cd750bba9870f18aada2478b24840a/22f4066e6fb51547d686fd1aec2023b6.jpg" TargetMode="External"/><Relationship Id="rId5" Type="http://schemas.openxmlformats.org/officeDocument/2006/relationships/hyperlink" Target="https://basket-12.wbbasket.ru/vol1727/part172714/172714265/images/big/1.webp" TargetMode="External"/><Relationship Id="rId6" Type="http://schemas.openxmlformats.org/officeDocument/2006/relationships/hyperlink" Target="https://avatars.mds.yandex.net/get-mpic/5334770/img_id1272095289037755554.jpeg/orig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8.88"/>
    <col customWidth="1" min="6" max="6" width="14.0"/>
    <col customWidth="1" min="10" max="10" width="6.75"/>
  </cols>
  <sheetData>
    <row r="1">
      <c r="B1" s="1" t="s">
        <v>0</v>
      </c>
      <c r="D1" s="1" t="s">
        <v>1</v>
      </c>
      <c r="F1" s="1" t="s">
        <v>2</v>
      </c>
      <c r="H1" s="1" t="s">
        <v>3</v>
      </c>
      <c r="K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  <c r="F2" s="1" t="s">
        <v>9</v>
      </c>
      <c r="G2" s="1" t="s">
        <v>7</v>
      </c>
      <c r="H2" s="1" t="s">
        <v>10</v>
      </c>
      <c r="J2" s="1" t="s">
        <v>5</v>
      </c>
      <c r="K2" s="1" t="s">
        <v>11</v>
      </c>
      <c r="L2" s="1" t="s">
        <v>7</v>
      </c>
    </row>
    <row r="3"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13</v>
      </c>
      <c r="H3" s="1" t="s">
        <v>17</v>
      </c>
      <c r="K3" s="1" t="s">
        <v>18</v>
      </c>
      <c r="L3" s="1" t="s">
        <v>7</v>
      </c>
    </row>
    <row r="4">
      <c r="B4" s="1" t="s">
        <v>19</v>
      </c>
      <c r="C4" s="1" t="s">
        <v>13</v>
      </c>
      <c r="F4" s="1" t="s">
        <v>20</v>
      </c>
      <c r="G4" s="1" t="s">
        <v>13</v>
      </c>
      <c r="H4" s="1" t="s">
        <v>21</v>
      </c>
      <c r="K4" s="1" t="s">
        <v>22</v>
      </c>
      <c r="L4" s="1" t="s">
        <v>7</v>
      </c>
    </row>
    <row r="5">
      <c r="B5" s="2" t="s">
        <v>23</v>
      </c>
      <c r="C5" s="1" t="s">
        <v>13</v>
      </c>
      <c r="F5" s="1" t="s">
        <v>24</v>
      </c>
      <c r="H5" s="1" t="s">
        <v>22</v>
      </c>
      <c r="K5" s="1" t="s">
        <v>25</v>
      </c>
      <c r="L5" s="1" t="s">
        <v>26</v>
      </c>
    </row>
    <row r="6">
      <c r="B6" s="1" t="s">
        <v>27</v>
      </c>
      <c r="C6" s="1" t="s">
        <v>28</v>
      </c>
      <c r="F6" s="1" t="s">
        <v>29</v>
      </c>
      <c r="H6" s="1" t="s">
        <v>25</v>
      </c>
    </row>
    <row r="7">
      <c r="A7" s="1" t="s">
        <v>30</v>
      </c>
      <c r="B7" s="1" t="s">
        <v>31</v>
      </c>
      <c r="C7" s="1" t="s">
        <v>7</v>
      </c>
    </row>
    <row r="8">
      <c r="B8" s="1" t="s">
        <v>32</v>
      </c>
      <c r="C8" s="1" t="s">
        <v>13</v>
      </c>
    </row>
    <row r="9">
      <c r="B9" s="1" t="s">
        <v>33</v>
      </c>
      <c r="C9" s="1" t="s">
        <v>13</v>
      </c>
    </row>
    <row r="10">
      <c r="B10" s="1" t="s">
        <v>34</v>
      </c>
      <c r="C10" s="1" t="s">
        <v>13</v>
      </c>
    </row>
    <row r="11">
      <c r="B11" s="1" t="s">
        <v>35</v>
      </c>
      <c r="C11" s="1" t="s">
        <v>13</v>
      </c>
    </row>
    <row r="12">
      <c r="B12" s="1" t="s">
        <v>36</v>
      </c>
      <c r="C12" s="1" t="s">
        <v>13</v>
      </c>
    </row>
    <row r="13">
      <c r="B13" s="1" t="s">
        <v>37</v>
      </c>
      <c r="C13" s="1" t="s">
        <v>13</v>
      </c>
    </row>
    <row r="14">
      <c r="B14" s="1" t="s">
        <v>38</v>
      </c>
      <c r="C14" s="1" t="s">
        <v>7</v>
      </c>
    </row>
    <row r="15">
      <c r="B15" s="1" t="s">
        <v>39</v>
      </c>
      <c r="C15" s="1" t="s">
        <v>7</v>
      </c>
    </row>
    <row r="16">
      <c r="B16" s="1" t="s">
        <v>40</v>
      </c>
      <c r="C16" s="1" t="s">
        <v>13</v>
      </c>
    </row>
    <row r="17">
      <c r="B17" s="1" t="s">
        <v>41</v>
      </c>
      <c r="C17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14</v>
      </c>
    </row>
    <row r="2">
      <c r="A2" s="1">
        <v>1.0</v>
      </c>
      <c r="B2" s="1" t="s">
        <v>42</v>
      </c>
    </row>
    <row r="3">
      <c r="A3" s="1">
        <v>2.0</v>
      </c>
      <c r="B3" s="1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5"/>
    <col customWidth="1" min="8" max="8" width="18.0"/>
    <col customWidth="1" min="10" max="10" width="16.88"/>
    <col customWidth="1" min="13" max="13" width="19.0"/>
    <col customWidth="1" min="14" max="14" width="16.75"/>
    <col customWidth="1" min="15" max="15" width="25.38"/>
    <col customWidth="1" min="16" max="16" width="13.5"/>
  </cols>
  <sheetData>
    <row r="1">
      <c r="A1" s="1" t="s">
        <v>6</v>
      </c>
      <c r="B1" s="1" t="s">
        <v>12</v>
      </c>
      <c r="C1" s="1" t="s">
        <v>19</v>
      </c>
      <c r="D1" s="2" t="s">
        <v>23</v>
      </c>
      <c r="E1" s="1" t="s">
        <v>27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>
      <c r="A2" s="1">
        <v>1.0</v>
      </c>
      <c r="B2" s="1" t="s">
        <v>44</v>
      </c>
      <c r="C2" s="1" t="s">
        <v>45</v>
      </c>
      <c r="D2" s="1" t="s">
        <v>46</v>
      </c>
      <c r="E2" s="3">
        <v>38967.0</v>
      </c>
      <c r="F2" s="1">
        <v>2.0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>
        <v>32.0</v>
      </c>
      <c r="N2" s="1">
        <v>1451.0</v>
      </c>
      <c r="O2" s="1" t="s">
        <v>53</v>
      </c>
      <c r="P2" s="1" t="s">
        <v>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13"/>
    <col customWidth="1" min="3" max="3" width="138.38"/>
    <col customWidth="1" min="4" max="4" width="10.13"/>
    <col customWidth="1" min="5" max="5" width="112.5"/>
  </cols>
  <sheetData>
    <row r="1">
      <c r="A1" s="4" t="s">
        <v>9</v>
      </c>
      <c r="B1" s="4" t="s">
        <v>16</v>
      </c>
      <c r="C1" s="4" t="s">
        <v>20</v>
      </c>
      <c r="D1" s="4" t="s">
        <v>24</v>
      </c>
      <c r="E1" s="4" t="s">
        <v>29</v>
      </c>
    </row>
    <row r="2">
      <c r="A2" s="4">
        <v>1.0</v>
      </c>
      <c r="B2" s="5" t="s">
        <v>55</v>
      </c>
      <c r="C2" s="6" t="s">
        <v>56</v>
      </c>
      <c r="D2" s="5" t="s">
        <v>57</v>
      </c>
      <c r="E2" s="7" t="s">
        <v>58</v>
      </c>
    </row>
    <row r="3">
      <c r="A3" s="4">
        <v>2.0</v>
      </c>
      <c r="B3" s="5" t="s">
        <v>59</v>
      </c>
      <c r="C3" s="6" t="s">
        <v>60</v>
      </c>
      <c r="D3" s="4" t="s">
        <v>61</v>
      </c>
      <c r="E3" s="7" t="s">
        <v>62</v>
      </c>
    </row>
    <row r="4">
      <c r="A4" s="4">
        <v>3.0</v>
      </c>
      <c r="B4" s="5" t="s">
        <v>63</v>
      </c>
      <c r="C4" s="6" t="s">
        <v>64</v>
      </c>
      <c r="D4" s="4" t="s">
        <v>65</v>
      </c>
      <c r="E4" s="7" t="s">
        <v>66</v>
      </c>
    </row>
    <row r="5">
      <c r="A5" s="4">
        <v>4.0</v>
      </c>
      <c r="B5" s="5" t="s">
        <v>67</v>
      </c>
      <c r="C5" s="6" t="s">
        <v>68</v>
      </c>
      <c r="D5" s="4" t="s">
        <v>69</v>
      </c>
      <c r="E5" s="7" t="s">
        <v>70</v>
      </c>
    </row>
    <row r="6">
      <c r="A6" s="4">
        <v>5.0</v>
      </c>
      <c r="B6" s="5" t="s">
        <v>71</v>
      </c>
      <c r="C6" s="6" t="s">
        <v>72</v>
      </c>
      <c r="D6" s="4" t="s">
        <v>73</v>
      </c>
      <c r="E6" s="7" t="s">
        <v>74</v>
      </c>
    </row>
    <row r="7">
      <c r="A7" s="4">
        <v>6.0</v>
      </c>
      <c r="B7" s="5" t="s">
        <v>75</v>
      </c>
      <c r="C7" s="6" t="s">
        <v>76</v>
      </c>
      <c r="D7" s="4" t="s">
        <v>77</v>
      </c>
      <c r="E7" s="7" t="s">
        <v>78</v>
      </c>
    </row>
    <row r="8">
      <c r="A8" s="8"/>
      <c r="B8" s="5"/>
      <c r="C8" s="8"/>
      <c r="D8" s="8"/>
      <c r="E8" s="8"/>
    </row>
  </sheetData>
  <hyperlinks>
    <hyperlink r:id="rId1" ref="E2"/>
    <hyperlink r:id="rId2" ref="E3"/>
    <hyperlink r:id="rId3" ref="E4"/>
    <hyperlink r:id="rId4" ref="E5"/>
    <hyperlink r:id="rId5" ref="E6"/>
    <hyperlink r:id="rId6" ref="E7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17</v>
      </c>
      <c r="C1" s="1" t="s">
        <v>21</v>
      </c>
      <c r="D1" s="1" t="s">
        <v>22</v>
      </c>
      <c r="E1" s="1" t="s">
        <v>25</v>
      </c>
    </row>
    <row r="2">
      <c r="A2" s="1">
        <v>1.0</v>
      </c>
      <c r="B2" s="1">
        <v>1.0</v>
      </c>
      <c r="C2" s="1">
        <v>1.0</v>
      </c>
      <c r="D2" s="1">
        <v>1.0</v>
      </c>
      <c r="E2" s="9">
        <f>(D2*'Товары'!D2)</f>
        <v>45990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18</v>
      </c>
      <c r="C1" s="1" t="s">
        <v>22</v>
      </c>
      <c r="D1" s="1" t="s">
        <v>25</v>
      </c>
    </row>
    <row r="2">
      <c r="A2" s="1">
        <v>1.0</v>
      </c>
      <c r="B2" s="1">
        <v>1.0</v>
      </c>
      <c r="C2" s="1">
        <v>1.0</v>
      </c>
      <c r="D2" s="10">
        <f>(C2*'Корзина'!E2)</f>
        <v>45990</v>
      </c>
    </row>
  </sheetData>
  <drawing r:id="rId1"/>
</worksheet>
</file>